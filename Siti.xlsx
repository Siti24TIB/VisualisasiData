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B6D8C3-D091-47F4-A0C2-EFE7FC7B57CF}" xr6:coauthVersionLast="47" xr6:coauthVersionMax="47" xr10:uidLastSave="{00000000-0000-0000-0000-000000000000}"/>
  <bookViews>
    <workbookView xWindow="732" yWindow="732" windowWidth="17688" windowHeight="12048" xr2:uid="{F53FAF3E-5B64-42D0-B576-A0DE6035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 a="1"/>
  <c r="G3" i="1" a="1"/>
  <c r="F4" i="1"/>
  <c r="F5" i="1"/>
  <c r="F6" i="1"/>
  <c r="F7" i="1"/>
  <c r="F8" i="1"/>
  <c r="F9" i="1"/>
  <c r="G9" i="1" s="1" a="1"/>
  <c r="F10" i="1"/>
  <c r="G10" i="1" s="1" a="1"/>
  <c r="F11" i="1"/>
  <c r="G11" i="1" s="1" a="1"/>
  <c r="F12" i="1"/>
  <c r="F13" i="1"/>
  <c r="F14" i="1"/>
  <c r="F15" i="1"/>
  <c r="F16" i="1"/>
  <c r="F17" i="1"/>
  <c r="G17" i="1" s="1" a="1"/>
  <c r="F18" i="1"/>
  <c r="G18" i="1" s="1" a="1"/>
  <c r="F19" i="1"/>
  <c r="G19" i="1" s="1" a="1"/>
  <c r="F20" i="1"/>
  <c r="F21" i="1"/>
  <c r="G21" i="1" s="1" a="1"/>
  <c r="F22" i="1"/>
  <c r="F23" i="1"/>
  <c r="F24" i="1"/>
  <c r="F25" i="1"/>
  <c r="G25" i="1" s="1" a="1"/>
  <c r="F26" i="1"/>
  <c r="G26" i="1" s="1" a="1"/>
  <c r="F27" i="1"/>
  <c r="G27" i="1" s="1" a="1"/>
  <c r="F28" i="1"/>
  <c r="F29" i="1"/>
  <c r="G29" i="1" s="1" a="1"/>
  <c r="F30" i="1"/>
  <c r="F31" i="1"/>
  <c r="F32" i="1"/>
  <c r="F2" i="1"/>
  <c r="F3" i="1"/>
  <c r="G4" i="1" a="1"/>
  <c r="G5" i="1" a="1"/>
  <c r="G6" i="1" a="1"/>
  <c r="G7" i="1" a="1"/>
  <c r="G8" i="1" a="1"/>
  <c r="G12" i="1" a="1"/>
  <c r="G13" i="1" a="1"/>
  <c r="G14" i="1" a="1"/>
  <c r="G15" i="1" a="1"/>
  <c r="G16" i="1" a="1"/>
  <c r="G20" i="1" a="1"/>
  <c r="G22" i="1" a="1"/>
  <c r="G23" i="1" a="1"/>
  <c r="G24" i="1" a="1"/>
  <c r="G28" i="1" a="1"/>
  <c r="G30" i="1" a="1"/>
  <c r="G31" i="1" a="1"/>
  <c r="G3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<sst xmlns="http://schemas.openxmlformats.org/spreadsheetml/2006/main" count="38" uniqueCount="38">
  <si>
    <t>Name</t>
  </si>
  <si>
    <t>Final Score</t>
  </si>
  <si>
    <t>Grade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</si>
  <si>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</si>
  <si>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</si>
  <si>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</si>
  <si>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</si>
  <si>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</si>
  <si>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</si>
  <si>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</si>
  <si>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</si>
  <si>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</si>
  <si>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</si>
  <si>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</si>
  <si>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</si>
  <si>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</si>
  <si>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</si>
  <si>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</si>
  <si>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</si>
  <si>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</si>
  <si>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</si>
  <si>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</si>
  <si>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</si>
  <si>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</si>
  <si>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</si>
  <si>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</si>
  <si>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</si>
  <si>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</si>
  <si>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</si>
  <si>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</si>
  <si>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</si>
  <si>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</si>
  <si>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</si>
  <si>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Quiz</t>
  </si>
  <si>
    <t>UTS</t>
  </si>
  <si>
    <t>UAS</t>
  </si>
  <si>
    <t>NIM</t>
  </si>
  <si>
    <t>Siti Amaliah Ismail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</si>
</sst>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"/>
      <family val="2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1:N34"/>
  <sheetViews>
    <sheetView tabSelected="1" zoomScale="68" zoomScaleNormal="37" workbookViewId="0">
      <selection activeCell="I11" sqref="I11"/>
    </sheetView>
  </sheetViews>
  <sheetFormatPr defaultRowHeight="14.4" x14ac:dyDescent="0.3"/>
  <cols>
    <col min="1" max="1" width="14.33203125" style="1" customWidth="1"/>
    <col min="2" max="2" width="18.109375" style="1" customWidth="1"/>
    <col min="3" max="3" width="9.5546875" style="1" customWidth="1"/>
    <col min="4" max="4" width="8.77734375" style="1" customWidth="1"/>
    <col min="5" max="5" width="9.77734375" style="1" customWidth="1"/>
    <col min="6" max="6" width="13.77734375" style="1" customWidth="1"/>
    <col min="7" max="7" width="13.5546875" style="1" customWidth="1"/>
    <col min="8" max="8" width="15.44140625" style="1" customWidth="1"/>
    <col min="9" max="9" width="21.77734375" style="1" customWidth="1"/>
    <col min="11" max="11" width="13.6640625" customWidth="1"/>
    <col min="12" max="12" width="13.109375" customWidth="1"/>
    <col min="13" max="13" width="13.44140625" customWidth="1"/>
    <col min="14" max="14" width="13.21875" customWidth="1"/>
  </cols>
  <sheetData>
    <row r="1" spans="1:14" ht="24" customHeight="1" x14ac:dyDescent="0.3">
      <c r="A1" s="13" t="s">
        <v>36</v>
      </c>
      <c r="B1" s="13" t="s">
        <v>0</v>
      </c>
      <c r="C1" s="13" t="s">
        <v>33</v>
      </c>
      <c r="D1" s="13" t="s">
        <v>34</v>
      </c>
      <c r="E1" s="13" t="s">
        <v>35</v>
      </c>
      <c r="F1" s="13" t="s">
        <v>1</v>
      </c>
      <c r="G1" s="13" t="s">
        <v>2</v>
      </c>
      <c r="H1" s="6"/>
      <c r="I1" s="12"/>
      <c r="J1" s="12"/>
      <c r="K1" s="12"/>
      <c r="L1" s="12"/>
    </row>
    <row r="2" spans="1:14" ht="15.6" x14ac:dyDescent="0.3">
      <c r="A2" s="6">
        <v>2455301176</v>
      </c>
      <c r="B2" s="7" t="s">
        <v>37</v>
      </c>
      <c r="C2" s="6">
        <v>98</v>
      </c>
      <c r="D2" s="6">
        <v>80</v>
      </c>
      <c r="E2" s="6">
        <v>88</v>
      </c>
      <c r="F2" s="5">
        <f>C2*32%+D2*33%+E2*35%</f>
        <v>88.56</v>
      </c>
      <c r="G2" s="6" t="str" cm="1">
        <f t="array" ref="G2">_xlfn.IFS(F2&gt;=81, "A", F2&gt;=76, "AB", F2&gt;=66, "B", F2&gt;=61, "BC", F2&gt;=51, "C", TRUE, "F")</f>
        <v>A</v>
      </c>
      <c r="H2" s="6"/>
      <c r="I2" s="8"/>
      <c r="J2" s="8"/>
      <c r="K2" s="9"/>
      <c r="L2" s="11"/>
    </row>
    <row r="3" spans="1:14" ht="14.55" customHeight="1" x14ac:dyDescent="0.3">
      <c r="A3" s="3">
        <v>120001</v>
      </c>
      <c r="B3" s="4" t="s">
        <v>3</v>
      </c>
      <c r="C3" s="3">
        <v>85</v>
      </c>
      <c r="D3" s="3">
        <v>78</v>
      </c>
      <c r="E3" s="3">
        <v>90</v>
      </c>
      <c r="F3" s="5">
        <f>C3*32%+D3*33%+E3*35%</f>
        <v>84.44</v>
      </c>
      <c r="G3" s="6" t="str" cm="1">
        <f t="array" ref="G3">_xlfn.IFS(F3&gt;=81, "A", F3&gt;=76, "AB", F3&gt;=66, "B", F3&gt;=61, "BC", F3&gt;=51, "C", TRUE, "F")</f>
        <v>A</v>
      </c>
      <c r="H3" s="6"/>
      <c r="I3" s="8"/>
      <c r="J3" s="8"/>
      <c r="K3" s="9"/>
      <c r="L3" s="11"/>
    </row>
    <row r="4" spans="1:14" ht="15.6" x14ac:dyDescent="0.3">
      <c r="A4" s="3">
        <v>120005</v>
      </c>
      <c r="B4" s="4" t="s">
        <v>4</v>
      </c>
      <c r="C4" s="3">
        <v>92</v>
      </c>
      <c r="D4" s="3">
        <v>88</v>
      </c>
      <c r="E4" s="3">
        <v>94</v>
      </c>
      <c r="F4" s="5">
        <f t="shared" ref="F4:F32" si="0">C4*32%+D4*33%+E4*35%</f>
        <v>91.38</v>
      </c>
      <c r="G4" s="6" t="str" cm="1">
        <f t="array" ref="G4">_xlfn.IFS(F4&gt;=81, "A", F4&gt;=76, "AB", F4&gt;=66, "B", F4&gt;=61, "BC", F4&gt;=51, "C", TRUE, "F")</f>
        <v>A</v>
      </c>
      <c r="H4" s="6"/>
      <c r="I4" s="8"/>
      <c r="J4" s="8"/>
      <c r="K4" s="9"/>
      <c r="L4" s="11"/>
    </row>
    <row r="5" spans="1:14" ht="15.6" x14ac:dyDescent="0.3">
      <c r="A5" s="3">
        <v>120017</v>
      </c>
      <c r="B5" s="4" t="s">
        <v>5</v>
      </c>
      <c r="C5" s="3">
        <v>48</v>
      </c>
      <c r="D5" s="3">
        <v>65</v>
      </c>
      <c r="E5" s="3">
        <v>56</v>
      </c>
      <c r="F5" s="5">
        <f t="shared" si="0"/>
        <v>56.41</v>
      </c>
      <c r="G5" s="6" t="str" cm="1">
        <f t="array" ref="G5">_xlfn.IFS(F5&gt;=81, "A", F5&gt;=76, "AB", F5&gt;=66, "B", F5&gt;=61, "BC", F5&gt;=51, "C", TRUE, "F")</f>
        <v>C</v>
      </c>
      <c r="H5" s="6"/>
      <c r="I5" s="8"/>
      <c r="J5" s="8"/>
      <c r="K5" s="9"/>
      <c r="L5" s="11"/>
    </row>
    <row r="6" spans="1:14" ht="15.6" x14ac:dyDescent="0.3">
      <c r="A6" s="3">
        <v>120018</v>
      </c>
      <c r="B6" s="4" t="s">
        <v>6</v>
      </c>
      <c r="C6" s="3">
        <v>90</v>
      </c>
      <c r="D6" s="3">
        <v>85</v>
      </c>
      <c r="E6" s="3">
        <v>88</v>
      </c>
      <c r="F6" s="5">
        <f t="shared" si="0"/>
        <v>87.65</v>
      </c>
      <c r="G6" s="6" t="str" cm="1">
        <f t="array" ref="G6">_xlfn.IFS(F6&gt;=81, "A", F6&gt;=76, "AB", F6&gt;=66, "B", F6&gt;=61, "BC", F6&gt;=51, "C", TRUE, "F")</f>
        <v>A</v>
      </c>
      <c r="H6" s="6"/>
      <c r="I6" s="8"/>
      <c r="J6" s="8"/>
      <c r="K6" s="9"/>
      <c r="L6" s="11"/>
    </row>
    <row r="7" spans="1:14" ht="14.55" customHeight="1" x14ac:dyDescent="0.3">
      <c r="A7" s="3">
        <v>120022</v>
      </c>
      <c r="B7" s="4" t="s">
        <v>7</v>
      </c>
      <c r="C7" s="3">
        <v>75</v>
      </c>
      <c r="D7" s="3">
        <v>80</v>
      </c>
      <c r="E7" s="3">
        <v>77</v>
      </c>
      <c r="F7" s="5">
        <f t="shared" si="0"/>
        <v>77.350000000000009</v>
      </c>
      <c r="G7" s="6" t="str" cm="1">
        <f t="array" ref="G7">_xlfn.IFS(F7&gt;=81, "A", F7&gt;=76, "AB", F7&gt;=66, "B", F7&gt;=61, "BC", F7&gt;=51, "C", TRUE, "F")</f>
        <v>AB</v>
      </c>
      <c r="H7" s="6"/>
      <c r="I7" s="8"/>
      <c r="J7" s="8"/>
      <c r="K7" s="9"/>
      <c r="L7" s="11"/>
      <c r="M7" s="12"/>
      <c r="N7" s="12"/>
    </row>
    <row r="8" spans="1:14" ht="15.6" x14ac:dyDescent="0.3">
      <c r="A8" s="3">
        <v>120024</v>
      </c>
      <c r="B8" s="4" t="s">
        <v>8</v>
      </c>
      <c r="C8" s="3">
        <v>88</v>
      </c>
      <c r="D8" s="3">
        <v>70</v>
      </c>
      <c r="E8" s="3">
        <v>65</v>
      </c>
      <c r="F8" s="5">
        <f t="shared" si="0"/>
        <v>74.010000000000005</v>
      </c>
      <c r="G8" s="6" t="str" cm="1">
        <f t="array" ref="G8">_xlfn.IFS(F8&gt;=81, "A", F8&gt;=76, "AB", F8&gt;=66, "B", F8&gt;=61, "BC", F8&gt;=51, "C", TRUE, "F")</f>
        <v>B</v>
      </c>
      <c r="H8" s="6"/>
      <c r="I8" s="2"/>
      <c r="K8" s="8"/>
      <c r="L8" s="8"/>
      <c r="M8" s="9"/>
      <c r="N8" s="11"/>
    </row>
    <row r="9" spans="1:14" ht="15.6" x14ac:dyDescent="0.3">
      <c r="A9" s="3">
        <v>120025</v>
      </c>
      <c r="B9" s="4" t="s">
        <v>9</v>
      </c>
      <c r="C9" s="3">
        <v>75</v>
      </c>
      <c r="D9" s="3">
        <v>70</v>
      </c>
      <c r="E9" s="3">
        <v>75</v>
      </c>
      <c r="F9" s="5">
        <f t="shared" si="0"/>
        <v>73.349999999999994</v>
      </c>
      <c r="G9" s="6" t="str" cm="1">
        <f t="array" ref="G9">_xlfn.IFS(F9&gt;=81, "A", F9&gt;=76, "AB", F9&gt;=66, "B", F9&gt;=61, "BC", F9&gt;=51, "C", TRUE, "F")</f>
        <v>B</v>
      </c>
      <c r="H9" s="6"/>
      <c r="I9" s="2"/>
      <c r="K9" s="8"/>
      <c r="L9" s="8"/>
      <c r="M9" s="9"/>
      <c r="N9" s="11"/>
    </row>
    <row r="10" spans="1:14" ht="15.6" x14ac:dyDescent="0.3">
      <c r="A10" s="3">
        <v>120027</v>
      </c>
      <c r="B10" s="4" t="s">
        <v>10</v>
      </c>
      <c r="C10" s="3">
        <v>95</v>
      </c>
      <c r="D10" s="3">
        <v>91</v>
      </c>
      <c r="E10" s="3">
        <v>96</v>
      </c>
      <c r="F10" s="5">
        <f t="shared" si="0"/>
        <v>94.03</v>
      </c>
      <c r="G10" s="6" t="str" cm="1">
        <f t="array" ref="G10">_xlfn.IFS(F10&gt;=81, "A", F10&gt;=76, "AB", F10&gt;=66, "B", F10&gt;=61, "BC", F10&gt;=51, "C", TRUE, "F")</f>
        <v>A</v>
      </c>
      <c r="H10" s="6"/>
      <c r="I10" s="2"/>
      <c r="K10" s="8"/>
      <c r="L10" s="8"/>
      <c r="M10" s="9"/>
      <c r="N10" s="11"/>
    </row>
    <row r="11" spans="1:14" ht="15.6" x14ac:dyDescent="0.3">
      <c r="A11" s="3">
        <v>120034</v>
      </c>
      <c r="B11" s="4" t="s">
        <v>11</v>
      </c>
      <c r="C11" s="3">
        <v>79</v>
      </c>
      <c r="D11" s="3">
        <v>84</v>
      </c>
      <c r="E11" s="3">
        <v>78</v>
      </c>
      <c r="F11" s="5">
        <f t="shared" si="0"/>
        <v>80.3</v>
      </c>
      <c r="G11" s="6" t="str" cm="1">
        <f t="array" ref="G11">_xlfn.IFS(F11&gt;=81, "A", F11&gt;=76, "AB", F11&gt;=66, "B", F11&gt;=61, "BC", F11&gt;=51, "C", TRUE, "F")</f>
        <v>AB</v>
      </c>
      <c r="H11" s="6"/>
      <c r="I11" s="2"/>
      <c r="K11" s="8"/>
      <c r="L11" s="8"/>
      <c r="M11" s="9"/>
      <c r="N11" s="11"/>
    </row>
    <row r="12" spans="1:14" ht="15.6" x14ac:dyDescent="0.3">
      <c r="A12" s="3">
        <v>120035</v>
      </c>
      <c r="B12" s="4" t="s">
        <v>12</v>
      </c>
      <c r="C12" s="3">
        <v>42</v>
      </c>
      <c r="D12" s="3">
        <v>48</v>
      </c>
      <c r="E12" s="3">
        <v>63</v>
      </c>
      <c r="F12" s="5">
        <f t="shared" si="0"/>
        <v>51.33</v>
      </c>
      <c r="G12" s="6" t="str" cm="1">
        <f t="array" ref="G12">_xlfn.IFS(F12&gt;=81, "A", F12&gt;=76, "AB", F12&gt;=66, "B", F12&gt;=61, "BC", F12&gt;=51, "C", TRUE, "F")</f>
        <v>C</v>
      </c>
      <c r="H12" s="6"/>
      <c r="I12" s="2"/>
      <c r="K12" s="8"/>
      <c r="L12" s="8"/>
      <c r="M12" s="9"/>
      <c r="N12" s="11"/>
    </row>
    <row r="13" spans="1:14" ht="15.6" x14ac:dyDescent="0.3">
      <c r="A13" s="3">
        <v>120036</v>
      </c>
      <c r="B13" s="4" t="s">
        <v>13</v>
      </c>
      <c r="C13" s="3">
        <v>53</v>
      </c>
      <c r="D13" s="3">
        <v>64</v>
      </c>
      <c r="E13" s="3">
        <v>59</v>
      </c>
      <c r="F13" s="5">
        <f t="shared" si="0"/>
        <v>58.73</v>
      </c>
      <c r="G13" s="6" t="str" cm="1">
        <f t="array" ref="G13">_xlfn.IFS(F13&gt;=81, "A", F13&gt;=76, "AB", F13&gt;=66, "B", F13&gt;=61, "BC", F13&gt;=51, "C", TRUE, "F")</f>
        <v>C</v>
      </c>
      <c r="H13" s="6"/>
      <c r="I13" s="2"/>
      <c r="K13" s="8"/>
      <c r="L13" s="8"/>
      <c r="M13" s="9"/>
      <c r="N13" s="11"/>
    </row>
    <row r="14" spans="1:14" ht="15.6" x14ac:dyDescent="0.3">
      <c r="A14" s="3">
        <v>120038</v>
      </c>
      <c r="B14" s="4" t="s">
        <v>14</v>
      </c>
      <c r="C14" s="3">
        <v>91</v>
      </c>
      <c r="D14" s="3">
        <v>95</v>
      </c>
      <c r="E14" s="3">
        <v>90</v>
      </c>
      <c r="F14" s="5">
        <f t="shared" si="0"/>
        <v>91.97</v>
      </c>
      <c r="G14" s="6" t="str" cm="1">
        <f t="array" ref="G14">_xlfn.IFS(F14&gt;=81, "A", F14&gt;=76, "AB", F14&gt;=66, "B", F14&gt;=61, "BC", F14&gt;=51, "C", TRUE, "F")</f>
        <v>A</v>
      </c>
      <c r="H14" s="6"/>
      <c r="I14" s="2"/>
      <c r="L14" s="10"/>
    </row>
    <row r="15" spans="1:14" ht="15.6" x14ac:dyDescent="0.3">
      <c r="A15" s="3">
        <v>120039</v>
      </c>
      <c r="B15" s="4" t="s">
        <v>15</v>
      </c>
      <c r="C15" s="3">
        <v>76</v>
      </c>
      <c r="D15" s="3">
        <v>81</v>
      </c>
      <c r="E15" s="3">
        <v>75</v>
      </c>
      <c r="F15" s="5">
        <f t="shared" si="0"/>
        <v>77.3</v>
      </c>
      <c r="G15" s="6" t="str" cm="1">
        <f t="array" ref="G15">_xlfn.IFS(F15&gt;=81, "A", F15&gt;=76, "AB", F15&gt;=66, "B", F15&gt;=61, "BC", F15&gt;=51, "C", TRUE, "F")</f>
        <v>AB</v>
      </c>
      <c r="H15" s="6"/>
      <c r="I15" s="2"/>
    </row>
    <row r="16" spans="1:14" ht="15.6" x14ac:dyDescent="0.3">
      <c r="A16" s="3">
        <v>120046</v>
      </c>
      <c r="B16" s="4" t="s">
        <v>16</v>
      </c>
      <c r="C16" s="3">
        <v>89</v>
      </c>
      <c r="D16" s="3">
        <v>93</v>
      </c>
      <c r="E16" s="3">
        <v>88</v>
      </c>
      <c r="F16" s="5">
        <f t="shared" si="0"/>
        <v>89.97</v>
      </c>
      <c r="G16" s="6" t="str" cm="1">
        <f t="array" ref="G16">_xlfn.IFS(F16&gt;=81, "A", F16&gt;=76, "AB", F16&gt;=66, "B", F16&gt;=61, "BC", F16&gt;=51, "C", TRUE, "F")</f>
        <v>A</v>
      </c>
      <c r="H16" s="6"/>
      <c r="I16" s="2"/>
    </row>
    <row r="17" spans="1:9" ht="15.6" x14ac:dyDescent="0.3">
      <c r="A17" s="3">
        <v>120047</v>
      </c>
      <c r="B17" s="4" t="s">
        <v>17</v>
      </c>
      <c r="C17" s="3">
        <v>80</v>
      </c>
      <c r="D17" s="3">
        <v>85</v>
      </c>
      <c r="E17" s="3">
        <v>79</v>
      </c>
      <c r="F17" s="5">
        <f t="shared" si="0"/>
        <v>81.300000000000011</v>
      </c>
      <c r="G17" s="6" t="str" cm="1">
        <f t="array" ref="G17">_xlfn.IFS(F17&gt;=81, "A", F17&gt;=76, "AB", F17&gt;=66, "B", F17&gt;=61, "BC", F17&gt;=51, "C", TRUE, "F")</f>
        <v>A</v>
      </c>
      <c r="H17" s="6"/>
      <c r="I17" s="2"/>
    </row>
    <row r="18" spans="1:9" ht="15.6" x14ac:dyDescent="0.3">
      <c r="A18" s="3">
        <v>120049</v>
      </c>
      <c r="B18" s="4" t="s">
        <v>18</v>
      </c>
      <c r="C18" s="3">
        <v>94</v>
      </c>
      <c r="D18" s="3">
        <v>90</v>
      </c>
      <c r="E18" s="3">
        <v>95</v>
      </c>
      <c r="F18" s="5">
        <f t="shared" si="0"/>
        <v>93.03</v>
      </c>
      <c r="G18" s="6" t="str" cm="1">
        <f t="array" ref="G18">_xlfn.IFS(F18&gt;=81, "A", F18&gt;=76, "AB", F18&gt;=66, "B", F18&gt;=61, "BC", F18&gt;=51, "C", TRUE, "F")</f>
        <v>A</v>
      </c>
      <c r="H18" s="6"/>
      <c r="I18" s="2"/>
    </row>
    <row r="19" spans="1:9" ht="15.6" x14ac:dyDescent="0.3">
      <c r="A19" s="3">
        <v>120054</v>
      </c>
      <c r="B19" s="4" t="s">
        <v>19</v>
      </c>
      <c r="C19" s="3">
        <v>77</v>
      </c>
      <c r="D19" s="3">
        <v>82</v>
      </c>
      <c r="E19" s="3">
        <v>76</v>
      </c>
      <c r="F19" s="5">
        <f t="shared" si="0"/>
        <v>78.3</v>
      </c>
      <c r="G19" s="6" t="str" cm="1">
        <f t="array" ref="G19">_xlfn.IFS(F19&gt;=81, "A", F19&gt;=76, "AB", F19&gt;=66, "B", F19&gt;=61, "BC", F19&gt;=51, "C", TRUE, "F")</f>
        <v>AB</v>
      </c>
      <c r="H19" s="6"/>
      <c r="I19" s="2"/>
    </row>
    <row r="20" spans="1:9" ht="15.6" x14ac:dyDescent="0.3">
      <c r="A20" s="3">
        <v>120060</v>
      </c>
      <c r="B20" s="4" t="s">
        <v>20</v>
      </c>
      <c r="C20" s="3">
        <v>86</v>
      </c>
      <c r="D20" s="3">
        <v>89</v>
      </c>
      <c r="E20" s="3">
        <v>84</v>
      </c>
      <c r="F20" s="5">
        <f t="shared" si="0"/>
        <v>86.289999999999992</v>
      </c>
      <c r="G20" s="6" t="str" cm="1">
        <f t="array" ref="G20">_xlfn.IFS(F20&gt;=81, "A", F20&gt;=76, "AB", F20&gt;=66, "B", F20&gt;=61, "BC", F20&gt;=51, "C", TRUE, "F")</f>
        <v>A</v>
      </c>
      <c r="H20" s="6"/>
      <c r="I20" s="2"/>
    </row>
    <row r="21" spans="1:9" ht="15.6" x14ac:dyDescent="0.3">
      <c r="A21" s="3">
        <v>120063</v>
      </c>
      <c r="B21" s="4" t="s">
        <v>21</v>
      </c>
      <c r="C21" s="3">
        <v>92</v>
      </c>
      <c r="D21" s="3">
        <v>88</v>
      </c>
      <c r="E21" s="3">
        <v>93</v>
      </c>
      <c r="F21" s="5">
        <f t="shared" si="0"/>
        <v>91.03</v>
      </c>
      <c r="G21" s="6" t="str" cm="1">
        <f t="array" ref="G21">_xlfn.IFS(F21&gt;=81, "A", F21&gt;=76, "AB", F21&gt;=66, "B", F21&gt;=61, "BC", F21&gt;=51, "C", TRUE, "F")</f>
        <v>A</v>
      </c>
      <c r="H21" s="6"/>
      <c r="I21" s="2"/>
    </row>
    <row r="22" spans="1:9" ht="15.6" x14ac:dyDescent="0.3">
      <c r="A22" s="3">
        <v>120070</v>
      </c>
      <c r="B22" s="4" t="s">
        <v>22</v>
      </c>
      <c r="C22" s="3">
        <v>78</v>
      </c>
      <c r="D22" s="3">
        <v>83</v>
      </c>
      <c r="E22" s="3">
        <v>77</v>
      </c>
      <c r="F22" s="5">
        <f t="shared" si="0"/>
        <v>79.3</v>
      </c>
      <c r="G22" s="6" t="str" cm="1">
        <f t="array" ref="G22">_xlfn.IFS(F22&gt;=81, "A", F22&gt;=76, "AB", F22&gt;=66, "B", F22&gt;=61, "BC", F22&gt;=51, "C", TRUE, "F")</f>
        <v>AB</v>
      </c>
      <c r="H22" s="6"/>
      <c r="I22" s="2"/>
    </row>
    <row r="23" spans="1:9" ht="15.6" x14ac:dyDescent="0.3">
      <c r="A23" s="3">
        <v>120071</v>
      </c>
      <c r="B23" s="4" t="s">
        <v>23</v>
      </c>
      <c r="C23" s="3">
        <v>41</v>
      </c>
      <c r="D23" s="3">
        <v>53</v>
      </c>
      <c r="E23" s="3">
        <v>44</v>
      </c>
      <c r="F23" s="5">
        <f t="shared" si="0"/>
        <v>46.010000000000005</v>
      </c>
      <c r="G23" s="6" t="str" cm="1">
        <f t="array" ref="G23">_xlfn.IFS(F23&gt;=81, "A", F23&gt;=76, "AB", F23&gt;=66, "B", F23&gt;=61, "BC", F23&gt;=51, "C", TRUE, "F")</f>
        <v>F</v>
      </c>
      <c r="H23" s="6"/>
      <c r="I23" s="2"/>
    </row>
    <row r="24" spans="1:9" ht="15.6" x14ac:dyDescent="0.3">
      <c r="A24" s="3">
        <v>120073</v>
      </c>
      <c r="B24" s="4" t="s">
        <v>24</v>
      </c>
      <c r="C24" s="3">
        <v>68</v>
      </c>
      <c r="D24" s="3">
        <v>49</v>
      </c>
      <c r="E24" s="3">
        <v>54</v>
      </c>
      <c r="F24" s="5">
        <f t="shared" si="0"/>
        <v>56.830000000000005</v>
      </c>
      <c r="G24" s="6" t="str" cm="1">
        <f t="array" ref="G24">_xlfn.IFS(F24&gt;=81, "A", F24&gt;=76, "AB", F24&gt;=66, "B", F24&gt;=61, "BC", F24&gt;=51, "C", TRUE, "F")</f>
        <v>C</v>
      </c>
      <c r="H24" s="6"/>
      <c r="I24" s="2"/>
    </row>
    <row r="25" spans="1:9" ht="15.6" x14ac:dyDescent="0.3">
      <c r="A25" s="3">
        <v>120082</v>
      </c>
      <c r="B25" s="4" t="s">
        <v>25</v>
      </c>
      <c r="C25" s="3">
        <v>81</v>
      </c>
      <c r="D25" s="3">
        <v>87</v>
      </c>
      <c r="E25" s="3">
        <v>80</v>
      </c>
      <c r="F25" s="5">
        <f t="shared" si="0"/>
        <v>82.63</v>
      </c>
      <c r="G25" s="6" t="str" cm="1">
        <f t="array" ref="G25">_xlfn.IFS(F25&gt;=81, "A", F25&gt;=76, "AB", F25&gt;=66, "B", F25&gt;=61, "BC", F25&gt;=51, "C", TRUE, "F")</f>
        <v>A</v>
      </c>
      <c r="H25" s="6"/>
      <c r="I25" s="2"/>
    </row>
    <row r="26" spans="1:9" ht="15.6" x14ac:dyDescent="0.3">
      <c r="A26" s="3">
        <v>120083</v>
      </c>
      <c r="B26" s="4" t="s">
        <v>26</v>
      </c>
      <c r="C26" s="3">
        <v>87</v>
      </c>
      <c r="D26" s="3">
        <v>90</v>
      </c>
      <c r="E26" s="3">
        <v>85</v>
      </c>
      <c r="F26" s="5">
        <f t="shared" si="0"/>
        <v>87.29</v>
      </c>
      <c r="G26" s="6" t="str" cm="1">
        <f t="array" ref="G26">_xlfn.IFS(F26&gt;=81, "A", F26&gt;=76, "AB", F26&gt;=66, "B", F26&gt;=61, "BC", F26&gt;=51, "C", TRUE, "F")</f>
        <v>A</v>
      </c>
      <c r="H26" s="6"/>
      <c r="I26" s="2"/>
    </row>
    <row r="27" spans="1:9" ht="15.6" x14ac:dyDescent="0.3">
      <c r="A27" s="3">
        <v>120088</v>
      </c>
      <c r="B27" s="4" t="s">
        <v>27</v>
      </c>
      <c r="C27" s="3">
        <v>79</v>
      </c>
      <c r="D27" s="3">
        <v>84</v>
      </c>
      <c r="E27" s="3">
        <v>78</v>
      </c>
      <c r="F27" s="5">
        <f t="shared" si="0"/>
        <v>80.3</v>
      </c>
      <c r="G27" s="6" t="str" cm="1">
        <f t="array" ref="G27">_xlfn.IFS(F27&gt;=81, "A", F27&gt;=76, "AB", F27&gt;=66, "B", F27&gt;=61, "BC", F27&gt;=51, "C", TRUE, "F")</f>
        <v>AB</v>
      </c>
      <c r="H27" s="6"/>
      <c r="I27" s="2"/>
    </row>
    <row r="28" spans="1:9" ht="15.6" x14ac:dyDescent="0.3">
      <c r="A28" s="3">
        <v>120090</v>
      </c>
      <c r="B28" s="4" t="s">
        <v>28</v>
      </c>
      <c r="C28" s="3">
        <v>70</v>
      </c>
      <c r="D28" s="3">
        <v>77</v>
      </c>
      <c r="E28" s="3">
        <v>64</v>
      </c>
      <c r="F28" s="5">
        <f t="shared" si="0"/>
        <v>70.210000000000008</v>
      </c>
      <c r="G28" s="6" t="str" cm="1">
        <f t="array" ref="G28">_xlfn.IFS(F28&gt;=81, "A", F28&gt;=76, "AB", F28&gt;=66, "B", F28&gt;=61, "BC", F28&gt;=51, "C", TRUE, "F")</f>
        <v>B</v>
      </c>
      <c r="H28" s="6"/>
      <c r="I28" s="2"/>
    </row>
    <row r="29" spans="1:9" ht="15.6" x14ac:dyDescent="0.3">
      <c r="A29" s="3">
        <v>120093</v>
      </c>
      <c r="B29" s="4" t="s">
        <v>29</v>
      </c>
      <c r="C29" s="3">
        <v>67</v>
      </c>
      <c r="D29" s="3">
        <v>54</v>
      </c>
      <c r="E29" s="3">
        <v>54</v>
      </c>
      <c r="F29" s="5">
        <f t="shared" si="0"/>
        <v>58.160000000000004</v>
      </c>
      <c r="G29" s="6" t="str" cm="1">
        <f t="array" ref="G29">_xlfn.IFS(F29&gt;=81, "A", F29&gt;=76, "AB", F29&gt;=66, "B", F29&gt;=61, "BC", F29&gt;=51, "C", TRUE, "F")</f>
        <v>C</v>
      </c>
      <c r="H29" s="6"/>
      <c r="I29" s="2"/>
    </row>
    <row r="30" spans="1:9" ht="15.6" x14ac:dyDescent="0.3">
      <c r="A30" s="3">
        <v>120095</v>
      </c>
      <c r="B30" s="4" t="s">
        <v>30</v>
      </c>
      <c r="C30" s="3">
        <v>69</v>
      </c>
      <c r="D30" s="3">
        <v>62</v>
      </c>
      <c r="E30" s="3">
        <v>71</v>
      </c>
      <c r="F30" s="5">
        <f t="shared" si="0"/>
        <v>67.39</v>
      </c>
      <c r="G30" s="6" t="str" cm="1">
        <f t="array" ref="G30">_xlfn.IFS(F30&gt;=81, "A", F30&gt;=76, "AB", F30&gt;=66, "B", F30&gt;=61, "BC", F30&gt;=51, "C", TRUE, "F")</f>
        <v>B</v>
      </c>
      <c r="H30" s="6"/>
      <c r="I30" s="2"/>
    </row>
    <row r="31" spans="1:9" ht="15.6" x14ac:dyDescent="0.3">
      <c r="A31" s="3">
        <v>120098</v>
      </c>
      <c r="B31" s="4" t="s">
        <v>31</v>
      </c>
      <c r="C31" s="3">
        <v>76</v>
      </c>
      <c r="D31" s="3">
        <v>81</v>
      </c>
      <c r="E31" s="3">
        <v>75</v>
      </c>
      <c r="F31" s="5">
        <f t="shared" si="0"/>
        <v>77.3</v>
      </c>
      <c r="G31" s="6" t="str" cm="1">
        <f t="array" ref="G31">_xlfn.IFS(F31&gt;=81, "A", F31&gt;=76, "AB", F31&gt;=66, "B", F31&gt;=61, "BC", F31&gt;=51, "C", TRUE, "F")</f>
        <v>AB</v>
      </c>
      <c r="H31" s="6"/>
      <c r="I31" s="2"/>
    </row>
    <row r="32" spans="1:9" ht="15.6" x14ac:dyDescent="0.3">
      <c r="A32" s="3">
        <v>120099</v>
      </c>
      <c r="B32" s="4" t="s">
        <v>32</v>
      </c>
      <c r="C32" s="3">
        <v>60</v>
      </c>
      <c r="D32" s="3">
        <v>65</v>
      </c>
      <c r="E32" s="3">
        <v>64</v>
      </c>
      <c r="F32" s="5">
        <f t="shared" si="0"/>
        <v>63.05</v>
      </c>
      <c r="G32" s="6" t="str" cm="1">
        <f t="array" ref="G32">_xlfn.IFS(F32&gt;=81, "A", F32&gt;=76, "AB", F32&gt;=66, "B", F32&gt;=61, "BC", F32&gt;=51, "C", TRUE, "F")</f>
        <v>BC</v>
      </c>
      <c r="I32" s="2"/>
    </row>
    <row r="33" spans="9:9" x14ac:dyDescent="0.3">
      <c r="I33" s="2"/>
    </row>
    <row r="34" spans="9:9" x14ac:dyDescent="0.3">
      <c r="I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user -</cp:lastModifiedBy>
  <dcterms:created xsi:type="dcterms:W3CDTF">2026-09-15T00:47:47Z</dcterms:created>
  <dcterms:modified xsi:type="dcterms:W3CDTF">2026-09-23T14:20:14Z</dcterms:modified>
</cp:coreProperties>
</file>